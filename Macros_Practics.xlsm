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tsnetwork-my.sharepoint.com/personal/rjangid112259_etechtexas_com/Documents/Desktop/Raj/"/>
    </mc:Choice>
  </mc:AlternateContent>
  <xr:revisionPtr revIDLastSave="385" documentId="13_ncr:1_{BE81F05D-2144-4E5F-A7E1-C1E596AB593A}" xr6:coauthVersionLast="47" xr6:coauthVersionMax="47" xr10:uidLastSave="{86BF72EB-0D77-4DBD-AEB7-1B342D45F3F8}"/>
  <bookViews>
    <workbookView xWindow="-108" yWindow="-108" windowWidth="23256" windowHeight="12576" firstSheet="2" activeTab="7" xr2:uid="{66139174-9D8D-4CE3-8AAB-8E51D65A8D85}"/>
  </bookViews>
  <sheets>
    <sheet name="Sheet8" sheetId="19" r:id="rId1"/>
    <sheet name="Sheet9" sheetId="9" r:id="rId2"/>
    <sheet name="Sheet1" sheetId="1" r:id="rId3"/>
    <sheet name="Sheet10" sheetId="20" r:id="rId4"/>
    <sheet name="Sheet2" sheetId="13" r:id="rId5"/>
    <sheet name="Auto_Agents" sheetId="21" r:id="rId6"/>
    <sheet name="Data" sheetId="22" r:id="rId7"/>
    <sheet name="Combobox" sheetId="23" r:id="rId8"/>
    <sheet name="Another sheet" sheetId="12" r:id="rId9"/>
    <sheet name="Sheet3" sheetId="14" r:id="rId10"/>
    <sheet name="Sheet4" sheetId="15" r:id="rId11"/>
    <sheet name="Sheet6" sheetId="18" r:id="rId12"/>
  </sheets>
  <definedNames>
    <definedName name="_xlnm._FilterDatabase" localSheetId="5" hidden="1">Auto_Agents!$A$1:$I$36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18" l="1"/>
  <c r="D9" i="18"/>
  <c r="G4" i="18"/>
  <c r="D7" i="18"/>
</calcChain>
</file>

<file path=xl/sharedStrings.xml><?xml version="1.0" encoding="utf-8"?>
<sst xmlns="http://schemas.openxmlformats.org/spreadsheetml/2006/main" count="206" uniqueCount="66">
  <si>
    <t>&lt;----- Botton for If (test3) and Iif (test4)</t>
  </si>
  <si>
    <t>&lt;------ Botton for Name Display</t>
  </si>
  <si>
    <t>Perticular Raw and column</t>
  </si>
  <si>
    <t>Anoter method by select range</t>
  </si>
  <si>
    <t>Date</t>
  </si>
  <si>
    <t>Day</t>
  </si>
  <si>
    <t>Number</t>
  </si>
  <si>
    <t>Tuesday</t>
  </si>
  <si>
    <t>Wednesday</t>
  </si>
  <si>
    <t>Thursday</t>
  </si>
  <si>
    <t>Friday</t>
  </si>
  <si>
    <t>Saturday</t>
  </si>
  <si>
    <t>Sunday</t>
  </si>
  <si>
    <t>Monday</t>
  </si>
  <si>
    <t>Data</t>
  </si>
  <si>
    <t xml:space="preserve">Write the table of </t>
  </si>
  <si>
    <t>Sun</t>
  </si>
  <si>
    <t>Mon</t>
  </si>
  <si>
    <t>Tue</t>
  </si>
  <si>
    <t>Wed</t>
  </si>
  <si>
    <t>Thu</t>
  </si>
  <si>
    <t>Fri</t>
  </si>
  <si>
    <t>Sat</t>
  </si>
  <si>
    <t>AHT = (Call +hold + ACW)/Anw calls</t>
  </si>
  <si>
    <t>Week</t>
  </si>
  <si>
    <t>EMP_Name</t>
  </si>
  <si>
    <t>Calls Handled</t>
  </si>
  <si>
    <t>Sales</t>
  </si>
  <si>
    <t>AHT</t>
  </si>
  <si>
    <t>Login Hours</t>
  </si>
  <si>
    <t>Target Login Hours</t>
  </si>
  <si>
    <t>Revenue</t>
  </si>
  <si>
    <t>EMP-1</t>
  </si>
  <si>
    <t>EMP-2</t>
  </si>
  <si>
    <t>EMP-3</t>
  </si>
  <si>
    <t>EMP-4</t>
  </si>
  <si>
    <t>EMP-5</t>
  </si>
  <si>
    <t>EMP-6</t>
  </si>
  <si>
    <t>EMP-7</t>
  </si>
  <si>
    <t>EMP-8</t>
  </si>
  <si>
    <t>EMP-9</t>
  </si>
  <si>
    <t>EMP-10</t>
  </si>
  <si>
    <t>EMP-11</t>
  </si>
  <si>
    <t>EMP-12</t>
  </si>
  <si>
    <t>EMP-13</t>
  </si>
  <si>
    <t>EMP-14</t>
  </si>
  <si>
    <t>EMP-15</t>
  </si>
  <si>
    <t>EMP-16</t>
  </si>
  <si>
    <t>EMP-17</t>
  </si>
  <si>
    <t>EMP-18</t>
  </si>
  <si>
    <t>EMP-19</t>
  </si>
  <si>
    <t>EMP-20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</si>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</sst>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sz val="15"/>
      <color theme="1"/>
      <name val="Arial"/>
      <family val="2"/>
    </font>
    <font>
      <b/>
      <sz val="15"/>
      <color indexed="9"/>
      <name val="Arial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44" fontId="7" fillId="0" borderId="0" applyFont="0" applyFill="0" applyBorder="0" applyAlignment="0" applyProtection="0"/>
  </cellStyleXfs>
  <cellXfs count="20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 wrapText="1"/>
    </xf>
    <xf numFmtId="0" fontId="0" fillId="6" borderId="0" xfId="0" applyFill="1"/>
    <xf numFmtId="1" fontId="0" fillId="6" borderId="0" xfId="0" applyNumberFormat="1" applyFill="1"/>
    <xf numFmtId="0" fontId="0" fillId="0" borderId="4" xfId="0" applyBorder="1" applyAlignment="1">
      <alignment horizontal="center"/>
    </xf>
    <xf numFmtId="15" fontId="0" fillId="0" borderId="4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44" fontId="0" fillId="0" borderId="4" xfId="1" applyFont="1" applyBorder="1" applyAlignment="1">
      <alignment horizontal="center" vertical="top"/>
    </xf>
    <xf numFmtId="44" fontId="0" fillId="0" borderId="4" xfId="1" applyFont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9" fillId="8" borderId="8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5" fillId="4" borderId="5" xfId="0" applyFont="1" applyFill="1" applyBorder="1" applyAlignment="1">
      <alignment horizontal="center" vertical="center" wrapText="1"/>
    </xf>
    <xf numFmtId="0" fontId="5" fillId="4" borderId="6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464820</xdr:colOff>
      <xdr:row>2</xdr:row>
      <xdr:rowOff>38100</xdr:rowOff>
    </xdr:from>
    <xdr:to>
      <xdr:col>5</xdr:col>
      <xdr:colOff>396240</xdr:colOff>
      <xdr:row>4</xdr:row>
      <xdr:rowOff>15240</xdr:rowOff>
    </xdr:to>
    <xdr:sp macro="[0]!Module2.Tes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293620" y="403860"/>
          <a:ext cx="1150620" cy="342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Msg</a:t>
          </a:r>
          <a:r>
            <a:rPr lang="en-US" sz="1100" baseline="0"/>
            <a:t> Box Button</a:t>
          </a:r>
        </a:p>
        <a:p>
          <a:pPr algn="ctr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434340</xdr:colOff>
          <xdr:row>5</xdr:row>
          <xdr:rowOff>91440</xdr:rowOff>
        </xdr:from>
        <xdr:to>
          <xdr:col>5</xdr:col>
          <xdr:colOff>434340</xdr:colOff>
          <xdr:row>7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Develper Butoon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2</xdr:row>
          <xdr:rowOff>22860</xdr:rowOff>
        </xdr:from>
        <xdr:to>
          <xdr:col>9</xdr:col>
          <xdr:colOff>419100</xdr:colOff>
          <xdr:row>4</xdr:row>
          <xdr:rowOff>30480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312420</xdr:colOff>
          <xdr:row>6</xdr:row>
          <xdr:rowOff>38100</xdr:rowOff>
        </xdr:from>
        <xdr:to>
          <xdr:col>9</xdr:col>
          <xdr:colOff>365760</xdr:colOff>
          <xdr:row>8</xdr:row>
          <xdr:rowOff>38100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236220</xdr:colOff>
      <xdr:row>1</xdr:row>
      <xdr:rowOff>167640</xdr:rowOff>
    </xdr:from>
    <xdr:to>
      <xdr:col>10</xdr:col>
      <xdr:colOff>22860</xdr:colOff>
      <xdr:row>5</xdr:row>
      <xdr:rowOff>38100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E3666695-4C4E-511D-64F6-26E5AC40610E}"/>
            </a:ext>
          </a:extLst>
        </xdr:cNvPr>
        <xdr:cNvGrpSpPr/>
      </xdr:nvGrpSpPr>
      <xdr:grpSpPr>
        <a:xfrm>
          <a:off x="4907280" y="373380"/>
          <a:ext cx="2225040" cy="632460"/>
          <a:chOff x="4907280" y="373380"/>
          <a:chExt cx="2225040" cy="632460"/>
        </a:xfrm>
      </xdr:grpSpPr>
      <xdr:sp macro="" textlink="">
        <xdr:nvSpPr>
          <xdr:cNvPr id="2" name="Oval 1">
            <a:extLst>
              <a:ext uri="{FF2B5EF4-FFF2-40B4-BE49-F238E27FC236}">
                <a16:creationId xmlns:a16="http://schemas.microsoft.com/office/drawing/2014/main" id="{8F9C589D-F0CA-252B-F589-BDECB87942D3}"/>
              </a:ext>
            </a:extLst>
          </xdr:cNvPr>
          <xdr:cNvSpPr/>
        </xdr:nvSpPr>
        <xdr:spPr>
          <a:xfrm>
            <a:off x="4907280" y="373380"/>
            <a:ext cx="2225040" cy="632460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extBox2_Click" textlink="">
        <xdr:nvSpPr>
          <xdr:cNvPr id="3" name="TextBox 2">
            <a:extLst>
              <a:ext uri="{FF2B5EF4-FFF2-40B4-BE49-F238E27FC236}">
                <a16:creationId xmlns:a16="http://schemas.microsoft.com/office/drawing/2014/main" id="{5774EC53-02C1-AB2B-399E-3B2FC9C92EF8}"/>
              </a:ext>
            </a:extLst>
          </xdr:cNvPr>
          <xdr:cNvSpPr txBox="1"/>
        </xdr:nvSpPr>
        <xdr:spPr>
          <a:xfrm>
            <a:off x="5219700" y="510540"/>
            <a:ext cx="1638300" cy="29718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/>
              <a:t>My ComboBox Button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365760</xdr:colOff>
      <xdr:row>3</xdr:row>
      <xdr:rowOff>0</xdr:rowOff>
    </xdr:from>
    <xdr:to>
      <xdr:col>7</xdr:col>
      <xdr:colOff>434340</xdr:colOff>
      <xdr:row>6</xdr:row>
      <xdr:rowOff>53340</xdr:rowOff>
    </xdr:to>
    <xdr:sp macro="[0]!write_the_table" textlink="">
      <xdr:nvSpPr>
        <xdr:cNvPr id="2" name="Oval 1">
          <a:extLst>
            <a:ext uri="{FF2B5EF4-FFF2-40B4-BE49-F238E27FC236}">
              <a16:creationId xmlns:a16="http://schemas.microsoft.com/office/drawing/2014/main" id="{17B61650-09C1-6292-E690-38B93B500AF5}"/>
            </a:ext>
          </a:extLst>
        </xdr:cNvPr>
        <xdr:cNvSpPr/>
      </xdr:nvSpPr>
      <xdr:spPr>
        <a:xfrm>
          <a:off x="3413760" y="548640"/>
          <a:ext cx="1287780" cy="60198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Table</a:t>
          </a:r>
          <a:r>
            <a:rPr lang="en-US" sz="1100" baseline="0"/>
            <a:t> of any Number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5A41E-5623-420F-8C52-EB971BD1DDD3}">
  <sheetPr codeName="Sheet8">
    <tabColor rgb="FF0000FF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B87B1-632D-40B5-8794-529D81087C1D}">
  <sheetPr codeName="Sheet9"/>
  <dimension ref="A1:O10"/>
  <sheetViews>
    <sheetView workbookViewId="0">
      <selection activeCell="L1" sqref="L1:O7"/>
    </sheetView>
  </sheetViews>
  <sheetFormatPr defaultRowHeight="14.4" x14ac:dyDescent="0.3"/>
  <cols>
    <col min="1" max="2" width="26.33203125" bestFit="1" customWidth="1"/>
    <col min="3" max="7" width="2" bestFit="1" customWidth="1"/>
    <col min="12" max="13" width="26.33203125" bestFit="1" customWidth="1"/>
    <col min="14" max="15" width="2" bestFit="1" customWidth="1"/>
  </cols>
  <sheetData>
    <row r="1" spans="1:15" x14ac:dyDescent="0.3">
      <c r="A1" t="s">
        <v>3</v>
      </c>
      <c r="B1" t="s">
        <v>3</v>
      </c>
      <c r="C1">
        <v>1</v>
      </c>
      <c r="D1">
        <v>1</v>
      </c>
      <c r="E1">
        <v>1</v>
      </c>
      <c r="F1">
        <v>1</v>
      </c>
      <c r="G1">
        <v>1</v>
      </c>
      <c r="L1" t="s">
        <v>3</v>
      </c>
      <c r="M1" t="s">
        <v>3</v>
      </c>
      <c r="N1">
        <v>1</v>
      </c>
      <c r="O1">
        <v>1</v>
      </c>
    </row>
    <row r="2" spans="1:15" x14ac:dyDescent="0.3">
      <c r="A2" t="s">
        <v>3</v>
      </c>
      <c r="B2" t="s">
        <v>3</v>
      </c>
      <c r="C2">
        <v>1</v>
      </c>
      <c r="D2">
        <v>1</v>
      </c>
      <c r="E2">
        <v>1</v>
      </c>
      <c r="F2">
        <v>1</v>
      </c>
      <c r="G2">
        <v>1</v>
      </c>
      <c r="L2" t="s">
        <v>3</v>
      </c>
      <c r="M2" t="s">
        <v>3</v>
      </c>
      <c r="N2">
        <v>1</v>
      </c>
      <c r="O2">
        <v>1</v>
      </c>
    </row>
    <row r="3" spans="1:15" x14ac:dyDescent="0.3">
      <c r="A3" t="s">
        <v>3</v>
      </c>
      <c r="B3" t="s">
        <v>3</v>
      </c>
      <c r="C3">
        <v>1</v>
      </c>
      <c r="D3">
        <v>1</v>
      </c>
      <c r="E3">
        <v>1</v>
      </c>
      <c r="F3">
        <v>1</v>
      </c>
      <c r="G3">
        <v>1</v>
      </c>
      <c r="L3" t="s">
        <v>3</v>
      </c>
      <c r="M3" t="s">
        <v>3</v>
      </c>
      <c r="N3">
        <v>1</v>
      </c>
      <c r="O3">
        <v>1</v>
      </c>
    </row>
    <row r="4" spans="1:15" x14ac:dyDescent="0.3">
      <c r="A4" t="s">
        <v>3</v>
      </c>
      <c r="B4" t="s">
        <v>3</v>
      </c>
      <c r="C4">
        <v>1</v>
      </c>
      <c r="D4">
        <v>1</v>
      </c>
      <c r="E4">
        <v>1</v>
      </c>
      <c r="F4">
        <v>1</v>
      </c>
      <c r="G4">
        <v>1</v>
      </c>
      <c r="L4" t="s">
        <v>3</v>
      </c>
      <c r="M4" t="s">
        <v>3</v>
      </c>
      <c r="N4">
        <v>1</v>
      </c>
      <c r="O4">
        <v>1</v>
      </c>
    </row>
    <row r="5" spans="1:15" x14ac:dyDescent="0.3">
      <c r="A5" t="s">
        <v>3</v>
      </c>
      <c r="B5" t="s">
        <v>3</v>
      </c>
      <c r="C5">
        <v>1</v>
      </c>
      <c r="D5">
        <v>1</v>
      </c>
      <c r="E5">
        <v>1</v>
      </c>
      <c r="F5">
        <v>1</v>
      </c>
      <c r="G5">
        <v>1</v>
      </c>
      <c r="L5" t="s">
        <v>3</v>
      </c>
      <c r="M5" t="s">
        <v>3</v>
      </c>
      <c r="N5">
        <v>1</v>
      </c>
      <c r="O5">
        <v>1</v>
      </c>
    </row>
    <row r="6" spans="1:15" x14ac:dyDescent="0.3">
      <c r="A6">
        <v>1</v>
      </c>
      <c r="B6">
        <v>1</v>
      </c>
      <c r="C6">
        <v>1</v>
      </c>
      <c r="D6">
        <v>1</v>
      </c>
      <c r="L6">
        <v>1</v>
      </c>
      <c r="M6">
        <v>1</v>
      </c>
      <c r="N6">
        <v>1</v>
      </c>
      <c r="O6">
        <v>1</v>
      </c>
    </row>
    <row r="7" spans="1:15" x14ac:dyDescent="0.3">
      <c r="A7">
        <v>1</v>
      </c>
      <c r="B7">
        <v>1</v>
      </c>
      <c r="C7">
        <v>1</v>
      </c>
      <c r="D7">
        <v>1</v>
      </c>
      <c r="L7">
        <v>1</v>
      </c>
      <c r="M7">
        <v>1</v>
      </c>
      <c r="N7">
        <v>1</v>
      </c>
      <c r="O7">
        <v>1</v>
      </c>
    </row>
    <row r="8" spans="1:15" x14ac:dyDescent="0.3">
      <c r="A8">
        <v>1</v>
      </c>
      <c r="B8">
        <v>1</v>
      </c>
      <c r="C8">
        <v>1</v>
      </c>
      <c r="D8">
        <v>1</v>
      </c>
    </row>
    <row r="9" spans="1:15" x14ac:dyDescent="0.3">
      <c r="A9">
        <v>1</v>
      </c>
      <c r="B9">
        <v>1</v>
      </c>
      <c r="C9">
        <v>1</v>
      </c>
      <c r="D9">
        <v>1</v>
      </c>
    </row>
    <row r="10" spans="1:15" x14ac:dyDescent="0.3">
      <c r="A10">
        <v>1</v>
      </c>
      <c r="B10">
        <v>1</v>
      </c>
      <c r="C10">
        <v>1</v>
      </c>
      <c r="D10">
        <v>1</v>
      </c>
      <c r="E10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5ECD3-894C-4428-9B2F-1AA7A6A2812D}">
  <sheetPr codeName="Sheet1"/>
  <dimension ref="K3:N8"/>
  <sheetViews>
    <sheetView workbookViewId="0">
      <selection activeCell="L14" sqref="L14"/>
    </sheetView>
  </sheetViews>
  <sheetFormatPr defaultRowHeight="14.4" x14ac:dyDescent="0.3"/>
  <sheetData>
    <row r="3" spans="11:14" x14ac:dyDescent="0.3">
      <c r="K3" s="15" t="s">
        <v>1</v>
      </c>
      <c r="L3" s="15"/>
      <c r="M3" s="15"/>
      <c r="N3" s="15"/>
    </row>
    <row r="4" spans="11:14" x14ac:dyDescent="0.3">
      <c r="K4" s="15"/>
      <c r="L4" s="15"/>
      <c r="M4" s="15"/>
      <c r="N4" s="15"/>
    </row>
    <row r="7" spans="11:14" x14ac:dyDescent="0.3">
      <c r="K7" s="15" t="s">
        <v>0</v>
      </c>
      <c r="L7" s="15"/>
      <c r="M7" s="15"/>
      <c r="N7" s="15"/>
    </row>
    <row r="8" spans="11:14" x14ac:dyDescent="0.3">
      <c r="K8" s="15"/>
      <c r="L8" s="15"/>
      <c r="M8" s="15"/>
      <c r="N8" s="15"/>
    </row>
  </sheetData>
  <mergeCells count="2">
    <mergeCell ref="K7:N8"/>
    <mergeCell ref="K3:N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2">
          <controlPr defaultSize="0" autoLine="0" r:id="rId5">
            <anchor moveWithCells="1">
              <from>
                <xdr:col>7</xdr:col>
                <xdr:colOff>312420</xdr:colOff>
                <xdr:row>6</xdr:row>
                <xdr:rowOff>38100</xdr:rowOff>
              </from>
              <to>
                <xdr:col>9</xdr:col>
                <xdr:colOff>365760</xdr:colOff>
                <xdr:row>8</xdr:row>
                <xdr:rowOff>38100</xdr:rowOff>
              </to>
            </anchor>
          </controlPr>
        </control>
      </mc:Choice>
      <mc:Fallback>
        <control shapeId="1028" r:id="rId4" name="CommandButton2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autoLine="0" r:id="rId7">
            <anchor moveWithCells="1">
              <from>
                <xdr:col>7</xdr:col>
                <xdr:colOff>304800</xdr:colOff>
                <xdr:row>2</xdr:row>
                <xdr:rowOff>22860</xdr:rowOff>
              </from>
              <to>
                <xdr:col>9</xdr:col>
                <xdr:colOff>419100</xdr:colOff>
                <xdr:row>4</xdr:row>
                <xdr:rowOff>30480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6" r:id="rId8" name="Button 2">
          <controlPr defaultSize="0" print="0" autoFill="0" autoPict="0" macro="[0]!Module2.Test">
            <anchor moveWithCells="1" sizeWithCells="1">
              <from>
                <xdr:col>3</xdr:col>
                <xdr:colOff>434340</xdr:colOff>
                <xdr:row>5</xdr:row>
                <xdr:rowOff>91440</xdr:rowOff>
              </from>
              <to>
                <xdr:col>5</xdr:col>
                <xdr:colOff>434340</xdr:colOff>
                <xdr:row>7</xdr:row>
                <xdr:rowOff>99060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B3136-F47B-44ED-9675-F9818551225F}">
  <sheetPr codeName="Sheet10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C8742-75B8-4EB4-B891-7E1C2F9D8D19}">
  <sheetPr codeName="Sheet2"/>
  <dimension ref="A1:C21"/>
  <sheetViews>
    <sheetView showGridLines="0" workbookViewId="0">
      <selection sqref="A1:C1"/>
    </sheetView>
  </sheetViews>
  <sheetFormatPr defaultRowHeight="14.4" x14ac:dyDescent="0.3"/>
  <cols>
    <col min="1" max="1" width="15.77734375" customWidth="1"/>
    <col min="2" max="2" width="16.33203125" bestFit="1" customWidth="1"/>
    <col min="3" max="3" width="15.77734375" customWidth="1"/>
  </cols>
  <sheetData>
    <row r="1" spans="1:3" ht="19.95" customHeight="1" x14ac:dyDescent="0.3">
      <c r="A1" s="16" t="s">
        <v>14</v>
      </c>
      <c r="B1" s="17"/>
      <c r="C1" s="18"/>
    </row>
    <row r="2" spans="1:3" ht="19.95" customHeight="1" x14ac:dyDescent="0.3">
      <c r="A2" s="4" t="s">
        <v>4</v>
      </c>
      <c r="B2" s="4" t="s">
        <v>5</v>
      </c>
      <c r="C2" s="4" t="s">
        <v>6</v>
      </c>
    </row>
    <row r="3" spans="1:3" ht="19.95" customHeight="1" x14ac:dyDescent="0.3">
      <c r="A3" s="4">
        <v>45139</v>
      </c>
      <c r="B3" s="4" t="s">
        <v>7</v>
      </c>
      <c r="C3" s="4">
        <v>73142</v>
      </c>
    </row>
    <row r="4" spans="1:3" ht="19.95" customHeight="1" x14ac:dyDescent="0.3">
      <c r="A4" s="4">
        <v>45140</v>
      </c>
      <c r="B4" s="4" t="s">
        <v>8</v>
      </c>
      <c r="C4" s="4">
        <v>51967</v>
      </c>
    </row>
    <row r="5" spans="1:3" ht="19.95" customHeight="1" x14ac:dyDescent="0.3">
      <c r="A5" s="4">
        <v>45141</v>
      </c>
      <c r="B5" s="4" t="s">
        <v>9</v>
      </c>
      <c r="C5" s="4">
        <v>24339</v>
      </c>
    </row>
    <row r="6" spans="1:3" ht="19.95" customHeight="1" x14ac:dyDescent="0.3">
      <c r="A6" s="4">
        <v>45142</v>
      </c>
      <c r="B6" s="4" t="s">
        <v>10</v>
      </c>
      <c r="C6" s="4">
        <v>75346</v>
      </c>
    </row>
    <row r="7" spans="1:3" ht="19.95" customHeight="1" x14ac:dyDescent="0.3">
      <c r="A7" s="4">
        <v>45143</v>
      </c>
      <c r="B7" s="4" t="s">
        <v>11</v>
      </c>
      <c r="C7" s="4">
        <v>82007</v>
      </c>
    </row>
    <row r="8" spans="1:3" ht="19.95" customHeight="1" x14ac:dyDescent="0.3">
      <c r="A8" s="4">
        <v>45144</v>
      </c>
      <c r="B8" s="4" t="s">
        <v>12</v>
      </c>
      <c r="C8" s="4">
        <v>39726</v>
      </c>
    </row>
    <row r="9" spans="1:3" ht="19.95" customHeight="1" x14ac:dyDescent="0.3">
      <c r="A9" s="4">
        <v>45145</v>
      </c>
      <c r="B9" s="4" t="s">
        <v>13</v>
      </c>
      <c r="C9" s="4">
        <v>68275</v>
      </c>
    </row>
    <row r="10" spans="1:3" ht="19.95" customHeight="1" x14ac:dyDescent="0.3">
      <c r="A10" s="4">
        <v>45146</v>
      </c>
      <c r="B10" s="4" t="s">
        <v>7</v>
      </c>
      <c r="C10" s="4">
        <v>44389</v>
      </c>
    </row>
    <row r="11" spans="1:3" ht="19.95" customHeight="1" x14ac:dyDescent="0.3">
      <c r="A11" s="4">
        <v>45147</v>
      </c>
      <c r="B11" s="4" t="s">
        <v>8</v>
      </c>
      <c r="C11" s="4">
        <v>4765</v>
      </c>
    </row>
    <row r="12" spans="1:3" ht="19.95" customHeight="1" x14ac:dyDescent="0.3">
      <c r="A12" s="4">
        <v>45148</v>
      </c>
      <c r="B12" s="4" t="s">
        <v>9</v>
      </c>
      <c r="C12" s="4">
        <v>69508</v>
      </c>
    </row>
    <row r="13" spans="1:3" ht="19.95" customHeight="1" x14ac:dyDescent="0.3">
      <c r="A13" s="4">
        <v>45149</v>
      </c>
      <c r="B13" s="4" t="s">
        <v>10</v>
      </c>
      <c r="C13" s="4">
        <v>42224</v>
      </c>
    </row>
    <row r="14" spans="1:3" ht="19.95" customHeight="1" x14ac:dyDescent="0.3">
      <c r="A14" s="4">
        <v>45150</v>
      </c>
      <c r="B14" s="4" t="s">
        <v>11</v>
      </c>
      <c r="C14" s="4">
        <v>60268</v>
      </c>
    </row>
    <row r="15" spans="1:3" ht="19.95" customHeight="1" x14ac:dyDescent="0.3">
      <c r="A15" s="4">
        <v>45151</v>
      </c>
      <c r="B15" s="4" t="s">
        <v>12</v>
      </c>
      <c r="C15" s="4">
        <v>26953</v>
      </c>
    </row>
    <row r="16" spans="1:3" ht="19.95" customHeight="1" x14ac:dyDescent="0.3">
      <c r="A16" s="4">
        <v>45152</v>
      </c>
      <c r="B16" s="4" t="s">
        <v>13</v>
      </c>
      <c r="C16" s="4">
        <v>18092</v>
      </c>
    </row>
    <row r="17" spans="1:3" ht="19.95" customHeight="1" x14ac:dyDescent="0.3">
      <c r="A17" s="4">
        <v>45153</v>
      </c>
      <c r="B17" s="4" t="s">
        <v>7</v>
      </c>
      <c r="C17" s="4">
        <v>57471</v>
      </c>
    </row>
    <row r="18" spans="1:3" ht="19.95" customHeight="1" x14ac:dyDescent="0.3">
      <c r="A18" s="4">
        <v>45154</v>
      </c>
      <c r="B18" s="4" t="s">
        <v>8</v>
      </c>
      <c r="C18" s="4">
        <v>94929</v>
      </c>
    </row>
    <row r="19" spans="1:3" ht="19.95" customHeight="1" x14ac:dyDescent="0.3">
      <c r="A19" s="4">
        <v>45155</v>
      </c>
      <c r="B19" s="4" t="s">
        <v>9</v>
      </c>
      <c r="C19" s="4">
        <v>20994</v>
      </c>
    </row>
    <row r="20" spans="1:3" ht="19.95" customHeight="1" x14ac:dyDescent="0.3">
      <c r="A20" s="4">
        <v>45156</v>
      </c>
      <c r="B20" s="4" t="s">
        <v>10</v>
      </c>
      <c r="C20" s="4">
        <v>95195</v>
      </c>
    </row>
    <row r="21" spans="1:3" ht="19.95" customHeight="1" x14ac:dyDescent="0.3">
      <c r="A21" s="4">
        <v>45157</v>
      </c>
      <c r="B21" s="4" t="s">
        <v>11</v>
      </c>
      <c r="C21" s="4">
        <v>94742</v>
      </c>
    </row>
  </sheetData>
  <mergeCells count="1">
    <mergeCell ref="A1:C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91AA5-AA31-456A-AFE2-9AC0DD487A96}">
  <sheetPr codeName="Sheet5">
    <tabColor theme="7" tint="0.39997558519241921"/>
  </sheetPr>
  <dimension ref="A1:I36"/>
  <sheetViews>
    <sheetView workbookViewId="0">
      <selection activeCell="A2" sqref="A2"/>
    </sheetView>
  </sheetViews>
  <sheetFormatPr defaultRowHeight="14.4" x14ac:dyDescent="0.3"/>
  <cols>
    <col min="1" max="1" width="11.6640625" customWidth="1"/>
    <col min="2" max="2" width="15.109375" customWidth="1"/>
    <col min="3" max="3" width="14.77734375" customWidth="1"/>
    <col min="4" max="4" width="15.21875" customWidth="1"/>
    <col min="5" max="5" width="8.88671875" customWidth="1"/>
    <col min="6" max="6" width="7.6640625" customWidth="1"/>
    <col min="7" max="7" width="10.5546875" bestFit="1" customWidth="1"/>
    <col min="8" max="8" width="22.33203125" customWidth="1"/>
    <col min="9" max="9" width="9.44140625" customWidth="1"/>
  </cols>
  <sheetData>
    <row r="1" spans="1:9" x14ac:dyDescent="0.3">
      <c r="A1" s="12" t="s">
        <v>4</v>
      </c>
      <c r="B1" s="12" t="s">
        <v>24</v>
      </c>
      <c r="C1" s="12" t="s">
        <v>25</v>
      </c>
      <c r="D1" s="12" t="s">
        <v>26</v>
      </c>
      <c r="E1" s="12" t="s">
        <v>27</v>
      </c>
      <c r="F1" s="12" t="s">
        <v>28</v>
      </c>
      <c r="G1" s="12" t="s">
        <v>29</v>
      </c>
      <c r="H1" s="12" t="s">
        <v>30</v>
      </c>
      <c r="I1" s="12" t="s">
        <v>31</v>
      </c>
    </row>
    <row r="2" spans="1:9" x14ac:dyDescent="0.3">
      <c r="A2" s="8">
        <v>45292</v>
      </c>
      <c r="B2" s="7">
        <v>1</v>
      </c>
      <c r="C2" s="7" t="s">
        <v>32</v>
      </c>
      <c r="D2" s="7">
        <v>90</v>
      </c>
      <c r="E2" s="7">
        <v>10</v>
      </c>
      <c r="F2" s="7">
        <v>475</v>
      </c>
      <c r="G2" s="9">
        <v>6</v>
      </c>
      <c r="H2" s="7">
        <v>8</v>
      </c>
      <c r="I2" s="10">
        <v>233</v>
      </c>
    </row>
    <row r="3" spans="1:9" x14ac:dyDescent="0.3">
      <c r="A3" s="8">
        <v>45292</v>
      </c>
      <c r="B3" s="7">
        <v>1</v>
      </c>
      <c r="C3" s="7" t="s">
        <v>33</v>
      </c>
      <c r="D3" s="7">
        <v>20</v>
      </c>
      <c r="E3" s="7">
        <v>7</v>
      </c>
      <c r="F3" s="7">
        <v>472</v>
      </c>
      <c r="G3" s="9">
        <v>6</v>
      </c>
      <c r="H3" s="7">
        <v>8</v>
      </c>
      <c r="I3" s="11">
        <v>231</v>
      </c>
    </row>
    <row r="4" spans="1:9" x14ac:dyDescent="0.3">
      <c r="A4" s="8">
        <v>45292</v>
      </c>
      <c r="B4" s="7">
        <v>1</v>
      </c>
      <c r="C4" s="7" t="s">
        <v>34</v>
      </c>
      <c r="D4" s="7">
        <v>20</v>
      </c>
      <c r="E4" s="7">
        <v>9</v>
      </c>
      <c r="F4" s="7">
        <v>473</v>
      </c>
      <c r="G4" s="9">
        <v>6</v>
      </c>
      <c r="H4" s="7">
        <v>8</v>
      </c>
      <c r="I4" s="11">
        <v>100</v>
      </c>
    </row>
    <row r="5" spans="1:9" x14ac:dyDescent="0.3">
      <c r="A5" s="8">
        <v>45292</v>
      </c>
      <c r="B5" s="7">
        <v>1</v>
      </c>
      <c r="C5" s="7" t="s">
        <v>35</v>
      </c>
      <c r="D5" s="7">
        <v>20</v>
      </c>
      <c r="E5" s="7">
        <v>14</v>
      </c>
      <c r="F5" s="7">
        <v>530</v>
      </c>
      <c r="G5" s="9">
        <v>7</v>
      </c>
      <c r="H5" s="7">
        <v>8</v>
      </c>
      <c r="I5" s="11">
        <v>80</v>
      </c>
    </row>
    <row r="6" spans="1:9" x14ac:dyDescent="0.3">
      <c r="A6" s="8">
        <v>45292</v>
      </c>
      <c r="B6" s="7">
        <v>1</v>
      </c>
      <c r="C6" s="7" t="s">
        <v>36</v>
      </c>
      <c r="D6" s="7">
        <v>74</v>
      </c>
      <c r="E6" s="7">
        <v>19</v>
      </c>
      <c r="F6" s="7">
        <v>475</v>
      </c>
      <c r="G6" s="9">
        <v>7</v>
      </c>
      <c r="H6" s="7">
        <v>8</v>
      </c>
      <c r="I6" s="11">
        <v>150</v>
      </c>
    </row>
    <row r="7" spans="1:9" x14ac:dyDescent="0.3">
      <c r="A7" s="8">
        <v>45292</v>
      </c>
      <c r="B7" s="7">
        <v>1</v>
      </c>
      <c r="C7" s="7" t="s">
        <v>37</v>
      </c>
      <c r="D7" s="7">
        <v>56</v>
      </c>
      <c r="E7" s="7">
        <v>11</v>
      </c>
      <c r="F7" s="7">
        <v>328</v>
      </c>
      <c r="G7" s="9">
        <v>7</v>
      </c>
      <c r="H7" s="7">
        <v>8</v>
      </c>
      <c r="I7" s="11">
        <v>244</v>
      </c>
    </row>
    <row r="8" spans="1:9" x14ac:dyDescent="0.3">
      <c r="A8" s="8">
        <v>45292</v>
      </c>
      <c r="B8" s="7">
        <v>1</v>
      </c>
      <c r="C8" s="7" t="s">
        <v>38</v>
      </c>
      <c r="D8" s="7">
        <v>55</v>
      </c>
      <c r="E8" s="7">
        <v>5</v>
      </c>
      <c r="F8" s="7">
        <v>357</v>
      </c>
      <c r="G8" s="9">
        <v>6</v>
      </c>
      <c r="H8" s="7">
        <v>8</v>
      </c>
      <c r="I8" s="11">
        <v>109</v>
      </c>
    </row>
    <row r="9" spans="1:9" x14ac:dyDescent="0.3">
      <c r="A9" s="8">
        <v>45292</v>
      </c>
      <c r="B9" s="7">
        <v>1</v>
      </c>
      <c r="C9" s="7" t="s">
        <v>39</v>
      </c>
      <c r="D9" s="7">
        <v>71</v>
      </c>
      <c r="E9" s="7">
        <v>11</v>
      </c>
      <c r="F9" s="7">
        <v>425</v>
      </c>
      <c r="G9" s="9">
        <v>6</v>
      </c>
      <c r="H9" s="7">
        <v>8</v>
      </c>
      <c r="I9" s="11">
        <v>110</v>
      </c>
    </row>
    <row r="10" spans="1:9" x14ac:dyDescent="0.3">
      <c r="A10" s="8">
        <v>45292</v>
      </c>
      <c r="B10" s="7">
        <v>1</v>
      </c>
      <c r="C10" s="7" t="s">
        <v>40</v>
      </c>
      <c r="D10" s="7">
        <v>65</v>
      </c>
      <c r="E10" s="7">
        <v>12</v>
      </c>
      <c r="F10" s="7">
        <v>317</v>
      </c>
      <c r="G10" s="9">
        <v>8</v>
      </c>
      <c r="H10" s="7">
        <v>8</v>
      </c>
      <c r="I10" s="11">
        <v>285</v>
      </c>
    </row>
    <row r="11" spans="1:9" x14ac:dyDescent="0.3">
      <c r="A11" s="8">
        <v>45292</v>
      </c>
      <c r="B11" s="7">
        <v>1</v>
      </c>
      <c r="C11" s="7" t="s">
        <v>41</v>
      </c>
      <c r="D11" s="7">
        <v>86</v>
      </c>
      <c r="E11" s="7">
        <v>18</v>
      </c>
      <c r="F11" s="7">
        <v>394</v>
      </c>
      <c r="G11" s="9">
        <v>8</v>
      </c>
      <c r="H11" s="7">
        <v>8</v>
      </c>
      <c r="I11" s="11">
        <v>77</v>
      </c>
    </row>
    <row r="12" spans="1:9" x14ac:dyDescent="0.3">
      <c r="A12" s="8">
        <v>45292</v>
      </c>
      <c r="B12" s="7">
        <v>1</v>
      </c>
      <c r="C12" s="7" t="s">
        <v>42</v>
      </c>
      <c r="D12" s="7">
        <v>58</v>
      </c>
      <c r="E12" s="7">
        <v>5</v>
      </c>
      <c r="F12" s="7">
        <v>587</v>
      </c>
      <c r="G12" s="9">
        <v>8</v>
      </c>
      <c r="H12" s="7">
        <v>8</v>
      </c>
      <c r="I12" s="11">
        <v>150</v>
      </c>
    </row>
    <row r="13" spans="1:9" x14ac:dyDescent="0.3">
      <c r="A13" s="8">
        <v>45292</v>
      </c>
      <c r="B13" s="7">
        <v>1</v>
      </c>
      <c r="C13" s="7" t="s">
        <v>43</v>
      </c>
      <c r="D13" s="7">
        <v>78</v>
      </c>
      <c r="E13" s="7">
        <v>15</v>
      </c>
      <c r="F13" s="7">
        <v>476</v>
      </c>
      <c r="G13" s="9">
        <v>6</v>
      </c>
      <c r="H13" s="7">
        <v>8</v>
      </c>
      <c r="I13" s="11">
        <v>253</v>
      </c>
    </row>
    <row r="14" spans="1:9" x14ac:dyDescent="0.3">
      <c r="A14" s="8">
        <v>45292</v>
      </c>
      <c r="B14" s="7">
        <v>1</v>
      </c>
      <c r="C14" s="7" t="s">
        <v>44</v>
      </c>
      <c r="D14" s="7">
        <v>53</v>
      </c>
      <c r="E14" s="7">
        <v>9</v>
      </c>
      <c r="F14" s="7">
        <v>548</v>
      </c>
      <c r="G14" s="9">
        <v>9</v>
      </c>
      <c r="H14" s="7">
        <v>8</v>
      </c>
      <c r="I14" s="11">
        <v>90</v>
      </c>
    </row>
    <row r="15" spans="1:9" x14ac:dyDescent="0.3">
      <c r="A15" s="8">
        <v>45292</v>
      </c>
      <c r="B15" s="7">
        <v>1</v>
      </c>
      <c r="C15" s="7" t="s">
        <v>45</v>
      </c>
      <c r="D15" s="7">
        <v>51</v>
      </c>
      <c r="E15" s="7">
        <v>12</v>
      </c>
      <c r="F15" s="7">
        <v>526</v>
      </c>
      <c r="G15" s="9">
        <v>6</v>
      </c>
      <c r="H15" s="7">
        <v>8</v>
      </c>
      <c r="I15" s="11">
        <v>103</v>
      </c>
    </row>
    <row r="16" spans="1:9" x14ac:dyDescent="0.3">
      <c r="A16" s="8">
        <v>45292</v>
      </c>
      <c r="B16" s="7">
        <v>1</v>
      </c>
      <c r="C16" s="7" t="s">
        <v>46</v>
      </c>
      <c r="D16" s="7">
        <v>81</v>
      </c>
      <c r="E16" s="7">
        <v>5</v>
      </c>
      <c r="F16" s="7">
        <v>388</v>
      </c>
      <c r="G16" s="9">
        <v>8</v>
      </c>
      <c r="H16" s="7">
        <v>8</v>
      </c>
      <c r="I16" s="11">
        <v>281</v>
      </c>
    </row>
    <row r="17" spans="1:9" x14ac:dyDescent="0.3">
      <c r="A17" s="8">
        <v>45292</v>
      </c>
      <c r="B17" s="7">
        <v>1</v>
      </c>
      <c r="C17" s="7" t="s">
        <v>47</v>
      </c>
      <c r="D17" s="7">
        <v>66</v>
      </c>
      <c r="E17" s="7">
        <v>5</v>
      </c>
      <c r="F17" s="7">
        <v>305</v>
      </c>
      <c r="G17" s="9">
        <v>8</v>
      </c>
      <c r="H17" s="7">
        <v>8</v>
      </c>
      <c r="I17" s="11">
        <v>106</v>
      </c>
    </row>
    <row r="18" spans="1:9" x14ac:dyDescent="0.3">
      <c r="A18" s="8">
        <v>45292</v>
      </c>
      <c r="B18" s="7">
        <v>1</v>
      </c>
      <c r="C18" s="7" t="s">
        <v>48</v>
      </c>
      <c r="D18" s="7">
        <v>54</v>
      </c>
      <c r="E18" s="7">
        <v>13</v>
      </c>
      <c r="F18" s="7">
        <v>547</v>
      </c>
      <c r="G18" s="9">
        <v>6</v>
      </c>
      <c r="H18" s="7">
        <v>8</v>
      </c>
      <c r="I18" s="11">
        <v>95</v>
      </c>
    </row>
    <row r="19" spans="1:9" x14ac:dyDescent="0.3">
      <c r="A19" s="8">
        <v>45292</v>
      </c>
      <c r="B19" s="7">
        <v>1</v>
      </c>
      <c r="C19" s="7" t="s">
        <v>49</v>
      </c>
      <c r="D19" s="7">
        <v>87</v>
      </c>
      <c r="E19" s="7">
        <v>11</v>
      </c>
      <c r="F19" s="7">
        <v>557</v>
      </c>
      <c r="G19" s="9">
        <v>9</v>
      </c>
      <c r="H19" s="7">
        <v>8</v>
      </c>
      <c r="I19" s="11">
        <v>173</v>
      </c>
    </row>
    <row r="20" spans="1:9" x14ac:dyDescent="0.3">
      <c r="A20" s="8">
        <v>45292</v>
      </c>
      <c r="B20" s="7">
        <v>1</v>
      </c>
      <c r="C20" s="7" t="s">
        <v>50</v>
      </c>
      <c r="D20" s="7">
        <v>56</v>
      </c>
      <c r="E20" s="7">
        <v>16</v>
      </c>
      <c r="F20" s="7">
        <v>306</v>
      </c>
      <c r="G20" s="9">
        <v>7</v>
      </c>
      <c r="H20" s="7">
        <v>8</v>
      </c>
      <c r="I20" s="11">
        <v>238</v>
      </c>
    </row>
    <row r="21" spans="1:9" x14ac:dyDescent="0.3">
      <c r="A21" s="8">
        <v>45292</v>
      </c>
      <c r="B21" s="7">
        <v>1</v>
      </c>
      <c r="C21" s="7" t="s">
        <v>51</v>
      </c>
      <c r="D21" s="7">
        <v>69</v>
      </c>
      <c r="E21" s="7">
        <v>18</v>
      </c>
      <c r="F21" s="7">
        <v>577</v>
      </c>
      <c r="G21" s="9">
        <v>9</v>
      </c>
      <c r="H21" s="7">
        <v>8</v>
      </c>
      <c r="I21" s="11">
        <v>200</v>
      </c>
    </row>
    <row r="22" spans="1:9" x14ac:dyDescent="0.3">
      <c r="A22" s="8">
        <v>45293</v>
      </c>
      <c r="B22" s="7">
        <v>2</v>
      </c>
      <c r="C22" s="7" t="s">
        <v>34</v>
      </c>
      <c r="D22" s="7">
        <v>73</v>
      </c>
      <c r="E22" s="7">
        <v>11</v>
      </c>
      <c r="F22" s="7">
        <v>482</v>
      </c>
      <c r="G22" s="9">
        <v>7</v>
      </c>
      <c r="H22" s="7">
        <v>8</v>
      </c>
      <c r="I22" s="11">
        <v>170</v>
      </c>
    </row>
    <row r="23" spans="1:9" x14ac:dyDescent="0.3">
      <c r="A23" s="8">
        <v>45293</v>
      </c>
      <c r="B23" s="7">
        <v>2</v>
      </c>
      <c r="C23" s="7" t="s">
        <v>35</v>
      </c>
      <c r="D23" s="7">
        <v>90</v>
      </c>
      <c r="E23" s="7">
        <v>20</v>
      </c>
      <c r="F23" s="7">
        <v>456</v>
      </c>
      <c r="G23" s="9">
        <v>7</v>
      </c>
      <c r="H23" s="7">
        <v>8</v>
      </c>
      <c r="I23" s="11">
        <v>91</v>
      </c>
    </row>
    <row r="24" spans="1:9" x14ac:dyDescent="0.3">
      <c r="A24" s="8">
        <v>45293</v>
      </c>
      <c r="B24" s="7">
        <v>2</v>
      </c>
      <c r="C24" s="7" t="s">
        <v>36</v>
      </c>
      <c r="D24" s="7">
        <v>54</v>
      </c>
      <c r="E24" s="7">
        <v>15</v>
      </c>
      <c r="F24" s="7">
        <v>363</v>
      </c>
      <c r="G24" s="9">
        <v>8</v>
      </c>
      <c r="H24" s="7">
        <v>8</v>
      </c>
      <c r="I24" s="11">
        <v>67</v>
      </c>
    </row>
    <row r="25" spans="1:9" x14ac:dyDescent="0.3">
      <c r="A25" s="8">
        <v>45293</v>
      </c>
      <c r="B25" s="7">
        <v>2</v>
      </c>
      <c r="C25" s="7" t="s">
        <v>32</v>
      </c>
      <c r="D25" s="7">
        <v>42</v>
      </c>
      <c r="E25" s="7">
        <v>20</v>
      </c>
      <c r="F25" s="7">
        <v>593</v>
      </c>
      <c r="G25" s="9">
        <v>9</v>
      </c>
      <c r="H25" s="7">
        <v>8</v>
      </c>
      <c r="I25" s="11">
        <v>255</v>
      </c>
    </row>
    <row r="26" spans="1:9" x14ac:dyDescent="0.3">
      <c r="A26" s="8">
        <v>45293</v>
      </c>
      <c r="B26" s="7">
        <v>2</v>
      </c>
      <c r="C26" s="7" t="s">
        <v>32</v>
      </c>
      <c r="D26" s="7">
        <v>46</v>
      </c>
      <c r="E26" s="7">
        <v>17</v>
      </c>
      <c r="F26" s="7">
        <v>300</v>
      </c>
      <c r="G26" s="9">
        <v>7</v>
      </c>
      <c r="H26" s="7">
        <v>8</v>
      </c>
      <c r="I26" s="11">
        <v>51</v>
      </c>
    </row>
    <row r="27" spans="1:9" x14ac:dyDescent="0.3">
      <c r="A27" s="8">
        <v>45293</v>
      </c>
      <c r="B27" s="7">
        <v>2</v>
      </c>
      <c r="C27" s="7" t="s">
        <v>32</v>
      </c>
      <c r="D27" s="7">
        <v>48</v>
      </c>
      <c r="E27" s="7">
        <v>15</v>
      </c>
      <c r="F27" s="7">
        <v>306</v>
      </c>
      <c r="G27" s="9">
        <v>6</v>
      </c>
      <c r="H27" s="7">
        <v>8</v>
      </c>
      <c r="I27" s="11">
        <v>185</v>
      </c>
    </row>
    <row r="28" spans="1:9" x14ac:dyDescent="0.3">
      <c r="A28" s="8">
        <v>45293</v>
      </c>
      <c r="B28" s="7">
        <v>2</v>
      </c>
      <c r="C28" s="7" t="s">
        <v>32</v>
      </c>
      <c r="D28" s="7">
        <v>20</v>
      </c>
      <c r="E28" s="7">
        <v>11</v>
      </c>
      <c r="F28" s="7">
        <v>328</v>
      </c>
      <c r="G28" s="9">
        <v>7</v>
      </c>
      <c r="H28" s="7">
        <v>8</v>
      </c>
      <c r="I28" s="11">
        <v>113</v>
      </c>
    </row>
    <row r="29" spans="1:9" x14ac:dyDescent="0.3">
      <c r="A29" s="8">
        <v>45293</v>
      </c>
      <c r="B29" s="7">
        <v>2</v>
      </c>
      <c r="C29" s="7" t="s">
        <v>32</v>
      </c>
      <c r="D29" s="7">
        <v>63</v>
      </c>
      <c r="E29" s="7">
        <v>19</v>
      </c>
      <c r="F29" s="7">
        <v>360</v>
      </c>
      <c r="G29" s="9">
        <v>8</v>
      </c>
      <c r="H29" s="7">
        <v>8</v>
      </c>
      <c r="I29" s="11">
        <v>122</v>
      </c>
    </row>
    <row r="30" spans="1:9" x14ac:dyDescent="0.3">
      <c r="A30" s="8">
        <v>45293</v>
      </c>
      <c r="B30" s="7">
        <v>2</v>
      </c>
      <c r="C30" s="7" t="s">
        <v>32</v>
      </c>
      <c r="D30" s="7">
        <v>81</v>
      </c>
      <c r="E30" s="7">
        <v>16</v>
      </c>
      <c r="F30" s="7">
        <v>313</v>
      </c>
      <c r="G30" s="9">
        <v>8</v>
      </c>
      <c r="H30" s="7">
        <v>8</v>
      </c>
      <c r="I30" s="11">
        <v>125</v>
      </c>
    </row>
    <row r="31" spans="1:9" x14ac:dyDescent="0.3">
      <c r="A31" s="8">
        <v>45293</v>
      </c>
      <c r="B31" s="7">
        <v>2</v>
      </c>
      <c r="C31" s="7" t="s">
        <v>32</v>
      </c>
      <c r="D31" s="7">
        <v>82</v>
      </c>
      <c r="E31" s="7">
        <v>5</v>
      </c>
      <c r="F31" s="7">
        <v>386</v>
      </c>
      <c r="G31" s="9">
        <v>8</v>
      </c>
      <c r="H31" s="7">
        <v>8</v>
      </c>
      <c r="I31" s="11">
        <v>69</v>
      </c>
    </row>
    <row r="32" spans="1:9" x14ac:dyDescent="0.3">
      <c r="A32" s="8">
        <v>45293</v>
      </c>
      <c r="B32" s="7">
        <v>2</v>
      </c>
      <c r="C32" s="7" t="s">
        <v>44</v>
      </c>
      <c r="D32" s="7">
        <v>72</v>
      </c>
      <c r="E32" s="7">
        <v>17</v>
      </c>
      <c r="F32" s="7">
        <v>485</v>
      </c>
      <c r="G32" s="9">
        <v>9</v>
      </c>
      <c r="H32" s="7">
        <v>8</v>
      </c>
      <c r="I32" s="11">
        <v>50</v>
      </c>
    </row>
    <row r="33" spans="1:9" x14ac:dyDescent="0.3">
      <c r="A33" s="8">
        <v>45293</v>
      </c>
      <c r="B33" s="7">
        <v>2</v>
      </c>
      <c r="C33" s="7" t="s">
        <v>45</v>
      </c>
      <c r="D33" s="7">
        <v>53</v>
      </c>
      <c r="E33" s="7">
        <v>12</v>
      </c>
      <c r="F33" s="7">
        <v>340</v>
      </c>
      <c r="G33" s="9">
        <v>6</v>
      </c>
      <c r="H33" s="7">
        <v>8</v>
      </c>
      <c r="I33" s="11">
        <v>224</v>
      </c>
    </row>
    <row r="34" spans="1:9" x14ac:dyDescent="0.3">
      <c r="A34" s="8">
        <v>45293</v>
      </c>
      <c r="B34" s="7">
        <v>2</v>
      </c>
      <c r="C34" s="7" t="s">
        <v>35</v>
      </c>
      <c r="D34" s="7">
        <v>68</v>
      </c>
      <c r="E34" s="7">
        <v>11</v>
      </c>
      <c r="F34" s="7">
        <v>541</v>
      </c>
      <c r="G34" s="9">
        <v>8</v>
      </c>
      <c r="H34" s="7">
        <v>8</v>
      </c>
      <c r="I34" s="11">
        <v>160</v>
      </c>
    </row>
    <row r="35" spans="1:9" x14ac:dyDescent="0.3">
      <c r="A35" s="8">
        <v>45293</v>
      </c>
      <c r="B35" s="7">
        <v>2</v>
      </c>
      <c r="C35" s="7" t="s">
        <v>36</v>
      </c>
      <c r="D35" s="7">
        <v>82</v>
      </c>
      <c r="E35" s="7">
        <v>13</v>
      </c>
      <c r="F35" s="7">
        <v>419</v>
      </c>
      <c r="G35" s="9">
        <v>7</v>
      </c>
      <c r="H35" s="7">
        <v>8</v>
      </c>
      <c r="I35" s="11">
        <v>165</v>
      </c>
    </row>
    <row r="36" spans="1:9" x14ac:dyDescent="0.3">
      <c r="A36" s="8">
        <v>45293</v>
      </c>
      <c r="B36" s="7">
        <v>2</v>
      </c>
      <c r="C36" s="7" t="s">
        <v>37</v>
      </c>
      <c r="D36" s="7">
        <v>55</v>
      </c>
      <c r="E36" s="7">
        <v>14</v>
      </c>
      <c r="F36" s="7">
        <v>457</v>
      </c>
      <c r="G36" s="9">
        <v>6</v>
      </c>
      <c r="H36" s="7">
        <v>8</v>
      </c>
      <c r="I36" s="11">
        <v>111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AB0C8-BA7F-4C70-BDFE-2BDE4441D588}">
  <sheetPr codeName="Sheet6">
    <tabColor theme="7" tint="0.39997558519241921"/>
  </sheetPr>
  <dimension ref="A1:I29"/>
  <sheetViews>
    <sheetView workbookViewId="0">
      <selection activeCell="J22" sqref="J22"/>
    </sheetView>
  </sheetViews>
  <sheetFormatPr defaultRowHeight="14.4" x14ac:dyDescent="0.3"/>
  <sheetData>
    <row r="1" spans="1:9" x14ac:dyDescent="0.3">
      <c r="A1" s="12" t="s">
        <v>4</v>
      </c>
      <c r="B1" s="12" t="s">
        <v>24</v>
      </c>
      <c r="C1" s="12" t="s">
        <v>25</v>
      </c>
      <c r="D1" s="12" t="s">
        <v>26</v>
      </c>
      <c r="E1" s="12" t="s">
        <v>27</v>
      </c>
      <c r="F1" s="12" t="s">
        <v>28</v>
      </c>
      <c r="G1" s="12" t="s">
        <v>29</v>
      </c>
      <c r="H1" s="12" t="s">
        <v>30</v>
      </c>
      <c r="I1" s="12" t="s">
        <v>31</v>
      </c>
    </row>
    <row r="2" spans="1:9" x14ac:dyDescent="0.3">
      <c r="A2" s="8">
        <v>45292</v>
      </c>
      <c r="B2" s="7">
        <v>1</v>
      </c>
      <c r="C2" s="7" t="s">
        <v>32</v>
      </c>
      <c r="D2" s="7">
        <v>90</v>
      </c>
      <c r="E2" s="7">
        <v>10</v>
      </c>
      <c r="F2" s="7">
        <v>475</v>
      </c>
      <c r="G2" s="9">
        <v>6</v>
      </c>
      <c r="H2" s="7">
        <v>8</v>
      </c>
      <c r="I2" s="10">
        <v>233</v>
      </c>
    </row>
    <row r="3" spans="1:9" x14ac:dyDescent="0.3">
      <c r="A3" s="8">
        <v>45292</v>
      </c>
      <c r="B3" s="7">
        <v>1</v>
      </c>
      <c r="C3" s="7" t="s">
        <v>36</v>
      </c>
      <c r="D3" s="7">
        <v>74</v>
      </c>
      <c r="E3" s="7">
        <v>19</v>
      </c>
      <c r="F3" s="7">
        <v>475</v>
      </c>
      <c r="G3" s="9">
        <v>7</v>
      </c>
      <c r="H3" s="7">
        <v>8</v>
      </c>
      <c r="I3" s="11">
        <v>150</v>
      </c>
    </row>
    <row r="4" spans="1:9" x14ac:dyDescent="0.3">
      <c r="A4" s="8">
        <v>45292</v>
      </c>
      <c r="B4" s="7">
        <v>1</v>
      </c>
      <c r="C4" s="7" t="s">
        <v>37</v>
      </c>
      <c r="D4" s="7">
        <v>56</v>
      </c>
      <c r="E4" s="7">
        <v>11</v>
      </c>
      <c r="F4" s="7">
        <v>328</v>
      </c>
      <c r="G4" s="9">
        <v>7</v>
      </c>
      <c r="H4" s="7">
        <v>8</v>
      </c>
      <c r="I4" s="11">
        <v>244</v>
      </c>
    </row>
    <row r="5" spans="1:9" x14ac:dyDescent="0.3">
      <c r="A5" s="8">
        <v>45292</v>
      </c>
      <c r="B5" s="7">
        <v>1</v>
      </c>
      <c r="C5" s="7" t="s">
        <v>38</v>
      </c>
      <c r="D5" s="7">
        <v>55</v>
      </c>
      <c r="E5" s="7">
        <v>5</v>
      </c>
      <c r="F5" s="7">
        <v>357</v>
      </c>
      <c r="G5" s="9">
        <v>6</v>
      </c>
      <c r="H5" s="7">
        <v>8</v>
      </c>
      <c r="I5" s="11">
        <v>109</v>
      </c>
    </row>
    <row r="6" spans="1:9" x14ac:dyDescent="0.3">
      <c r="A6" s="8">
        <v>45292</v>
      </c>
      <c r="B6" s="7">
        <v>1</v>
      </c>
      <c r="C6" s="7" t="s">
        <v>39</v>
      </c>
      <c r="D6" s="7">
        <v>71</v>
      </c>
      <c r="E6" s="7">
        <v>11</v>
      </c>
      <c r="F6" s="7">
        <v>425</v>
      </c>
      <c r="G6" s="9">
        <v>6</v>
      </c>
      <c r="H6" s="7">
        <v>8</v>
      </c>
      <c r="I6" s="11">
        <v>110</v>
      </c>
    </row>
    <row r="7" spans="1:9" x14ac:dyDescent="0.3">
      <c r="A7" s="8">
        <v>45292</v>
      </c>
      <c r="B7" s="7">
        <v>1</v>
      </c>
      <c r="C7" s="7" t="s">
        <v>40</v>
      </c>
      <c r="D7" s="7">
        <v>65</v>
      </c>
      <c r="E7" s="7">
        <v>12</v>
      </c>
      <c r="F7" s="7">
        <v>317</v>
      </c>
      <c r="G7" s="9">
        <v>8</v>
      </c>
      <c r="H7" s="7">
        <v>8</v>
      </c>
      <c r="I7" s="11">
        <v>285</v>
      </c>
    </row>
    <row r="8" spans="1:9" x14ac:dyDescent="0.3">
      <c r="A8" s="8">
        <v>45292</v>
      </c>
      <c r="B8" s="7">
        <v>1</v>
      </c>
      <c r="C8" s="7" t="s">
        <v>41</v>
      </c>
      <c r="D8" s="7">
        <v>86</v>
      </c>
      <c r="E8" s="7">
        <v>18</v>
      </c>
      <c r="F8" s="7">
        <v>394</v>
      </c>
      <c r="G8" s="9">
        <v>8</v>
      </c>
      <c r="H8" s="7">
        <v>8</v>
      </c>
      <c r="I8" s="11">
        <v>77</v>
      </c>
    </row>
    <row r="9" spans="1:9" x14ac:dyDescent="0.3">
      <c r="A9" s="8">
        <v>45292</v>
      </c>
      <c r="B9" s="7">
        <v>1</v>
      </c>
      <c r="C9" s="7" t="s">
        <v>42</v>
      </c>
      <c r="D9" s="7">
        <v>58</v>
      </c>
      <c r="E9" s="7">
        <v>5</v>
      </c>
      <c r="F9" s="7">
        <v>587</v>
      </c>
      <c r="G9" s="9">
        <v>8</v>
      </c>
      <c r="H9" s="7">
        <v>8</v>
      </c>
      <c r="I9" s="11">
        <v>150</v>
      </c>
    </row>
    <row r="10" spans="1:9" x14ac:dyDescent="0.3">
      <c r="A10" s="8">
        <v>45292</v>
      </c>
      <c r="B10" s="7">
        <v>1</v>
      </c>
      <c r="C10" s="7" t="s">
        <v>43</v>
      </c>
      <c r="D10" s="7">
        <v>78</v>
      </c>
      <c r="E10" s="7">
        <v>15</v>
      </c>
      <c r="F10" s="7">
        <v>476</v>
      </c>
      <c r="G10" s="9">
        <v>6</v>
      </c>
      <c r="H10" s="7">
        <v>8</v>
      </c>
      <c r="I10" s="11">
        <v>253</v>
      </c>
    </row>
    <row r="11" spans="1:9" x14ac:dyDescent="0.3">
      <c r="A11" s="8">
        <v>45292</v>
      </c>
      <c r="B11" s="7">
        <v>1</v>
      </c>
      <c r="C11" s="7" t="s">
        <v>44</v>
      </c>
      <c r="D11" s="7">
        <v>53</v>
      </c>
      <c r="E11" s="7">
        <v>9</v>
      </c>
      <c r="F11" s="7">
        <v>548</v>
      </c>
      <c r="G11" s="9">
        <v>9</v>
      </c>
      <c r="H11" s="7">
        <v>8</v>
      </c>
      <c r="I11" s="11">
        <v>90</v>
      </c>
    </row>
    <row r="12" spans="1:9" x14ac:dyDescent="0.3">
      <c r="A12" s="8">
        <v>45292</v>
      </c>
      <c r="B12" s="7">
        <v>1</v>
      </c>
      <c r="C12" s="7" t="s">
        <v>45</v>
      </c>
      <c r="D12" s="7">
        <v>51</v>
      </c>
      <c r="E12" s="7">
        <v>12</v>
      </c>
      <c r="F12" s="7">
        <v>526</v>
      </c>
      <c r="G12" s="9">
        <v>6</v>
      </c>
      <c r="H12" s="7">
        <v>8</v>
      </c>
      <c r="I12" s="11">
        <v>103</v>
      </c>
    </row>
    <row r="13" spans="1:9" x14ac:dyDescent="0.3">
      <c r="A13" s="8">
        <v>45292</v>
      </c>
      <c r="B13" s="7">
        <v>1</v>
      </c>
      <c r="C13" s="7" t="s">
        <v>46</v>
      </c>
      <c r="D13" s="7">
        <v>81</v>
      </c>
      <c r="E13" s="7">
        <v>5</v>
      </c>
      <c r="F13" s="7">
        <v>388</v>
      </c>
      <c r="G13" s="9">
        <v>8</v>
      </c>
      <c r="H13" s="7">
        <v>8</v>
      </c>
      <c r="I13" s="11">
        <v>281</v>
      </c>
    </row>
    <row r="14" spans="1:9" x14ac:dyDescent="0.3">
      <c r="A14" s="8">
        <v>45292</v>
      </c>
      <c r="B14" s="7">
        <v>1</v>
      </c>
      <c r="C14" s="7" t="s">
        <v>47</v>
      </c>
      <c r="D14" s="7">
        <v>66</v>
      </c>
      <c r="E14" s="7">
        <v>5</v>
      </c>
      <c r="F14" s="7">
        <v>305</v>
      </c>
      <c r="G14" s="9">
        <v>8</v>
      </c>
      <c r="H14" s="7">
        <v>8</v>
      </c>
      <c r="I14" s="11">
        <v>106</v>
      </c>
    </row>
    <row r="15" spans="1:9" x14ac:dyDescent="0.3">
      <c r="A15" s="8">
        <v>45292</v>
      </c>
      <c r="B15" s="7">
        <v>1</v>
      </c>
      <c r="C15" s="7" t="s">
        <v>48</v>
      </c>
      <c r="D15" s="7">
        <v>54</v>
      </c>
      <c r="E15" s="7">
        <v>13</v>
      </c>
      <c r="F15" s="7">
        <v>547</v>
      </c>
      <c r="G15" s="9">
        <v>6</v>
      </c>
      <c r="H15" s="7">
        <v>8</v>
      </c>
      <c r="I15" s="11">
        <v>95</v>
      </c>
    </row>
    <row r="16" spans="1:9" x14ac:dyDescent="0.3">
      <c r="A16" s="8">
        <v>45292</v>
      </c>
      <c r="B16" s="7">
        <v>1</v>
      </c>
      <c r="C16" s="7" t="s">
        <v>49</v>
      </c>
      <c r="D16" s="7">
        <v>87</v>
      </c>
      <c r="E16" s="7">
        <v>11</v>
      </c>
      <c r="F16" s="7">
        <v>557</v>
      </c>
      <c r="G16" s="9">
        <v>9</v>
      </c>
      <c r="H16" s="7">
        <v>8</v>
      </c>
      <c r="I16" s="11">
        <v>173</v>
      </c>
    </row>
    <row r="17" spans="1:9" x14ac:dyDescent="0.3">
      <c r="A17" s="8">
        <v>45292</v>
      </c>
      <c r="B17" s="7">
        <v>1</v>
      </c>
      <c r="C17" s="7" t="s">
        <v>50</v>
      </c>
      <c r="D17" s="7">
        <v>56</v>
      </c>
      <c r="E17" s="7">
        <v>16</v>
      </c>
      <c r="F17" s="7">
        <v>306</v>
      </c>
      <c r="G17" s="9">
        <v>7</v>
      </c>
      <c r="H17" s="7">
        <v>8</v>
      </c>
      <c r="I17" s="11">
        <v>238</v>
      </c>
    </row>
    <row r="18" spans="1:9" x14ac:dyDescent="0.3">
      <c r="A18" s="8">
        <v>45292</v>
      </c>
      <c r="B18" s="7">
        <v>1</v>
      </c>
      <c r="C18" s="7" t="s">
        <v>51</v>
      </c>
      <c r="D18" s="7">
        <v>69</v>
      </c>
      <c r="E18" s="7">
        <v>18</v>
      </c>
      <c r="F18" s="7">
        <v>577</v>
      </c>
      <c r="G18" s="9">
        <v>9</v>
      </c>
      <c r="H18" s="7">
        <v>8</v>
      </c>
      <c r="I18" s="11">
        <v>200</v>
      </c>
    </row>
    <row r="19" spans="1:9" x14ac:dyDescent="0.3">
      <c r="A19" s="8">
        <v>45293</v>
      </c>
      <c r="B19" s="7">
        <v>2</v>
      </c>
      <c r="C19" s="7" t="s">
        <v>34</v>
      </c>
      <c r="D19" s="7">
        <v>73</v>
      </c>
      <c r="E19" s="7">
        <v>11</v>
      </c>
      <c r="F19" s="7">
        <v>482</v>
      </c>
      <c r="G19" s="9">
        <v>7</v>
      </c>
      <c r="H19" s="7">
        <v>8</v>
      </c>
      <c r="I19" s="11">
        <v>170</v>
      </c>
    </row>
    <row r="20" spans="1:9" x14ac:dyDescent="0.3">
      <c r="A20" s="8">
        <v>45293</v>
      </c>
      <c r="B20" s="7">
        <v>2</v>
      </c>
      <c r="C20" s="7" t="s">
        <v>35</v>
      </c>
      <c r="D20" s="7">
        <v>90</v>
      </c>
      <c r="E20" s="7">
        <v>20</v>
      </c>
      <c r="F20" s="7">
        <v>456</v>
      </c>
      <c r="G20" s="9">
        <v>7</v>
      </c>
      <c r="H20" s="7">
        <v>8</v>
      </c>
      <c r="I20" s="11">
        <v>91</v>
      </c>
    </row>
    <row r="21" spans="1:9" x14ac:dyDescent="0.3">
      <c r="A21" s="8">
        <v>45293</v>
      </c>
      <c r="B21" s="7">
        <v>2</v>
      </c>
      <c r="C21" s="7" t="s">
        <v>36</v>
      </c>
      <c r="D21" s="7">
        <v>54</v>
      </c>
      <c r="E21" s="7">
        <v>15</v>
      </c>
      <c r="F21" s="7">
        <v>363</v>
      </c>
      <c r="G21" s="9">
        <v>8</v>
      </c>
      <c r="H21" s="7">
        <v>8</v>
      </c>
      <c r="I21" s="11">
        <v>67</v>
      </c>
    </row>
    <row r="22" spans="1:9" x14ac:dyDescent="0.3">
      <c r="A22" s="8">
        <v>45293</v>
      </c>
      <c r="B22" s="7">
        <v>2</v>
      </c>
      <c r="C22" s="7" t="s">
        <v>32</v>
      </c>
      <c r="D22" s="7">
        <v>63</v>
      </c>
      <c r="E22" s="7">
        <v>19</v>
      </c>
      <c r="F22" s="7">
        <v>360</v>
      </c>
      <c r="G22" s="9">
        <v>8</v>
      </c>
      <c r="H22" s="7">
        <v>8</v>
      </c>
      <c r="I22" s="11">
        <v>122</v>
      </c>
    </row>
    <row r="23" spans="1:9" x14ac:dyDescent="0.3">
      <c r="A23" s="8">
        <v>45293</v>
      </c>
      <c r="B23" s="7">
        <v>2</v>
      </c>
      <c r="C23" s="7" t="s">
        <v>32</v>
      </c>
      <c r="D23" s="7">
        <v>81</v>
      </c>
      <c r="E23" s="7">
        <v>16</v>
      </c>
      <c r="F23" s="7">
        <v>313</v>
      </c>
      <c r="G23" s="9">
        <v>8</v>
      </c>
      <c r="H23" s="7">
        <v>8</v>
      </c>
      <c r="I23" s="11">
        <v>125</v>
      </c>
    </row>
    <row r="24" spans="1:9" x14ac:dyDescent="0.3">
      <c r="A24" s="8">
        <v>45293</v>
      </c>
      <c r="B24" s="7">
        <v>2</v>
      </c>
      <c r="C24" s="7" t="s">
        <v>32</v>
      </c>
      <c r="D24" s="7">
        <v>82</v>
      </c>
      <c r="E24" s="7">
        <v>5</v>
      </c>
      <c r="F24" s="7">
        <v>386</v>
      </c>
      <c r="G24" s="9">
        <v>8</v>
      </c>
      <c r="H24" s="7">
        <v>8</v>
      </c>
      <c r="I24" s="11">
        <v>69</v>
      </c>
    </row>
    <row r="25" spans="1:9" x14ac:dyDescent="0.3">
      <c r="A25" s="8">
        <v>45293</v>
      </c>
      <c r="B25" s="7">
        <v>2</v>
      </c>
      <c r="C25" s="7" t="s">
        <v>44</v>
      </c>
      <c r="D25" s="7">
        <v>72</v>
      </c>
      <c r="E25" s="7">
        <v>17</v>
      </c>
      <c r="F25" s="7">
        <v>485</v>
      </c>
      <c r="G25" s="9">
        <v>9</v>
      </c>
      <c r="H25" s="7">
        <v>8</v>
      </c>
      <c r="I25" s="11">
        <v>50</v>
      </c>
    </row>
    <row r="26" spans="1:9" x14ac:dyDescent="0.3">
      <c r="A26" s="8">
        <v>45293</v>
      </c>
      <c r="B26" s="7">
        <v>2</v>
      </c>
      <c r="C26" s="7" t="s">
        <v>45</v>
      </c>
      <c r="D26" s="7">
        <v>53</v>
      </c>
      <c r="E26" s="7">
        <v>12</v>
      </c>
      <c r="F26" s="7">
        <v>340</v>
      </c>
      <c r="G26" s="9">
        <v>6</v>
      </c>
      <c r="H26" s="7">
        <v>8</v>
      </c>
      <c r="I26" s="11">
        <v>224</v>
      </c>
    </row>
    <row r="27" spans="1:9" x14ac:dyDescent="0.3">
      <c r="A27" s="8">
        <v>45293</v>
      </c>
      <c r="B27" s="7">
        <v>2</v>
      </c>
      <c r="C27" s="7" t="s">
        <v>35</v>
      </c>
      <c r="D27" s="7">
        <v>68</v>
      </c>
      <c r="E27" s="7">
        <v>11</v>
      </c>
      <c r="F27" s="7">
        <v>541</v>
      </c>
      <c r="G27" s="9">
        <v>8</v>
      </c>
      <c r="H27" s="7">
        <v>8</v>
      </c>
      <c r="I27" s="11">
        <v>160</v>
      </c>
    </row>
    <row r="28" spans="1:9" x14ac:dyDescent="0.3">
      <c r="A28" s="8">
        <v>45293</v>
      </c>
      <c r="B28" s="7">
        <v>2</v>
      </c>
      <c r="C28" s="7" t="s">
        <v>36</v>
      </c>
      <c r="D28" s="7">
        <v>82</v>
      </c>
      <c r="E28" s="7">
        <v>13</v>
      </c>
      <c r="F28" s="7">
        <v>419</v>
      </c>
      <c r="G28" s="9">
        <v>7</v>
      </c>
      <c r="H28" s="7">
        <v>8</v>
      </c>
      <c r="I28" s="11">
        <v>165</v>
      </c>
    </row>
    <row r="29" spans="1:9" x14ac:dyDescent="0.3">
      <c r="A29" s="8">
        <v>45293</v>
      </c>
      <c r="B29" s="7">
        <v>2</v>
      </c>
      <c r="C29" s="7" t="s">
        <v>37</v>
      </c>
      <c r="D29" s="7">
        <v>55</v>
      </c>
      <c r="E29" s="7">
        <v>14</v>
      </c>
      <c r="F29" s="7">
        <v>457</v>
      </c>
      <c r="G29" s="9">
        <v>6</v>
      </c>
      <c r="H29" s="7">
        <v>8</v>
      </c>
      <c r="I29" s="11">
        <v>111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9D227-C508-454F-BCD5-2CADA89B4488}">
  <sheetPr codeName="Sheet11"/>
  <dimension ref="A1:C15"/>
  <sheetViews>
    <sheetView tabSelected="1" workbookViewId="0">
      <selection activeCell="I7" sqref="I7"/>
    </sheetView>
  </sheetViews>
  <sheetFormatPr defaultRowHeight="14.4" x14ac:dyDescent="0.3"/>
  <cols>
    <col min="1" max="1" width="15.33203125" customWidth="1"/>
    <col min="2" max="2" width="14" customWidth="1"/>
    <col min="3" max="3" width="12.109375" customWidth="1"/>
  </cols>
  <sheetData>
    <row r="1" spans="1:3" ht="16.2" thickBot="1" x14ac:dyDescent="0.35">
      <c r="A1" s="13" t="s">
        <v>52</v>
      </c>
      <c r="B1" s="13" t="s">
        <v>5</v>
      </c>
      <c r="C1" s="13" t="s">
        <v>53</v>
      </c>
    </row>
    <row r="2" spans="1:3" ht="15" thickBot="1" x14ac:dyDescent="0.35">
      <c r="A2" s="14" t="s">
        <v>54</v>
      </c>
      <c r="B2" s="14" t="s">
        <v>16</v>
      </c>
      <c r="C2" s="14">
        <v>2017</v>
      </c>
    </row>
    <row r="3" spans="1:3" ht="15" thickBot="1" x14ac:dyDescent="0.35">
      <c r="A3" s="14" t="s">
        <v>55</v>
      </c>
      <c r="B3" s="14" t="s">
        <v>17</v>
      </c>
      <c r="C3" s="14">
        <v>2018</v>
      </c>
    </row>
    <row r="4" spans="1:3" ht="15" thickBot="1" x14ac:dyDescent="0.35">
      <c r="A4" s="14" t="s">
        <v>56</v>
      </c>
      <c r="B4" s="14" t="s">
        <v>18</v>
      </c>
      <c r="C4" s="14">
        <v>2019</v>
      </c>
    </row>
    <row r="5" spans="1:3" ht="15" thickBot="1" x14ac:dyDescent="0.35">
      <c r="A5" s="14" t="s">
        <v>57</v>
      </c>
      <c r="B5" s="14" t="s">
        <v>19</v>
      </c>
      <c r="C5" s="14">
        <v>2020</v>
      </c>
    </row>
    <row r="6" spans="1:3" ht="15" thickBot="1" x14ac:dyDescent="0.35">
      <c r="A6" s="14" t="s">
        <v>58</v>
      </c>
      <c r="B6" s="14" t="s">
        <v>20</v>
      </c>
      <c r="C6" s="14">
        <v>2021</v>
      </c>
    </row>
    <row r="7" spans="1:3" ht="15" thickBot="1" x14ac:dyDescent="0.35">
      <c r="A7" s="14" t="s">
        <v>59</v>
      </c>
      <c r="B7" s="14" t="s">
        <v>21</v>
      </c>
      <c r="C7" s="14">
        <v>2022</v>
      </c>
    </row>
    <row r="8" spans="1:3" ht="15" thickBot="1" x14ac:dyDescent="0.35">
      <c r="A8" s="14" t="s">
        <v>60</v>
      </c>
      <c r="B8" s="14" t="s">
        <v>22</v>
      </c>
      <c r="C8" s="14">
        <v>2023</v>
      </c>
    </row>
    <row r="9" spans="1:3" ht="15" thickBot="1" x14ac:dyDescent="0.35">
      <c r="A9" s="14" t="s">
        <v>61</v>
      </c>
      <c r="B9" s="14"/>
      <c r="C9" s="14">
        <v>2024</v>
      </c>
    </row>
    <row r="10" spans="1:3" ht="15" thickBot="1" x14ac:dyDescent="0.35">
      <c r="A10" s="14" t="s">
        <v>62</v>
      </c>
      <c r="B10" s="14"/>
      <c r="C10" s="14">
        <v>2025</v>
      </c>
    </row>
    <row r="11" spans="1:3" ht="15" thickBot="1" x14ac:dyDescent="0.35">
      <c r="A11" s="14" t="s">
        <v>63</v>
      </c>
      <c r="B11" s="14"/>
      <c r="C11" s="14">
        <v>2026</v>
      </c>
    </row>
    <row r="12" spans="1:3" ht="15" thickBot="1" x14ac:dyDescent="0.35">
      <c r="A12" s="14" t="s">
        <v>64</v>
      </c>
      <c r="B12" s="14"/>
      <c r="C12" s="14">
        <v>2027</v>
      </c>
    </row>
    <row r="13" spans="1:3" ht="15" thickBot="1" x14ac:dyDescent="0.35">
      <c r="A13" s="14" t="s">
        <v>65</v>
      </c>
      <c r="B13" s="14"/>
      <c r="C13" s="14">
        <v>2028</v>
      </c>
    </row>
    <row r="14" spans="1:3" ht="15" thickBot="1" x14ac:dyDescent="0.35">
      <c r="A14" s="14"/>
      <c r="B14" s="14"/>
      <c r="C14" s="14">
        <v>2029</v>
      </c>
    </row>
    <row r="15" spans="1:3" ht="15" thickBot="1" x14ac:dyDescent="0.35">
      <c r="A15" s="14"/>
      <c r="B15" s="14"/>
      <c r="C15" s="14">
        <v>2030</v>
      </c>
    </row>
  </sheetData>
  <phoneticPr fontId="6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15BAD-AAC1-417A-B29A-DDCC954B9C62}">
  <sheetPr codeName="Sheet12">
    <tabColor rgb="FF0000FF"/>
  </sheetPr>
  <dimension ref="A1:M6"/>
  <sheetViews>
    <sheetView workbookViewId="0">
      <selection activeCell="F1" sqref="F1"/>
    </sheetView>
  </sheetViews>
  <sheetFormatPr defaultRowHeight="14.4" x14ac:dyDescent="0.3"/>
  <sheetData>
    <row r="1" spans="1:13" x14ac:dyDescent="0.3">
      <c r="A1" s="1">
        <v>12</v>
      </c>
      <c r="E1" s="1">
        <v>12</v>
      </c>
      <c r="F1" s="1">
        <v>12</v>
      </c>
      <c r="G1">
        <v>12</v>
      </c>
      <c r="H1" s="1">
        <v>12</v>
      </c>
      <c r="I1">
        <v>12</v>
      </c>
      <c r="K1">
        <v>10</v>
      </c>
      <c r="M1">
        <v>6</v>
      </c>
    </row>
    <row r="2" spans="1:13" x14ac:dyDescent="0.3">
      <c r="A2" s="2">
        <v>34</v>
      </c>
      <c r="E2" s="2">
        <v>34</v>
      </c>
      <c r="F2" s="2">
        <v>34</v>
      </c>
      <c r="G2">
        <v>34</v>
      </c>
      <c r="H2" s="2">
        <v>34</v>
      </c>
      <c r="I2">
        <v>34</v>
      </c>
      <c r="K2">
        <v>11</v>
      </c>
    </row>
    <row r="3" spans="1:13" x14ac:dyDescent="0.3">
      <c r="A3" s="2">
        <v>32</v>
      </c>
      <c r="E3" s="2">
        <v>32</v>
      </c>
      <c r="F3" s="2">
        <v>32</v>
      </c>
      <c r="G3">
        <v>32</v>
      </c>
      <c r="H3" s="2">
        <v>32</v>
      </c>
      <c r="I3">
        <v>32</v>
      </c>
      <c r="K3">
        <v>12</v>
      </c>
      <c r="M3">
        <v>3</v>
      </c>
    </row>
    <row r="4" spans="1:13" x14ac:dyDescent="0.3">
      <c r="A4" s="2">
        <v>45</v>
      </c>
      <c r="E4" s="2">
        <v>45</v>
      </c>
      <c r="F4" s="2">
        <v>45</v>
      </c>
      <c r="G4">
        <v>45</v>
      </c>
      <c r="H4" s="2">
        <v>45</v>
      </c>
      <c r="I4">
        <v>45</v>
      </c>
      <c r="K4">
        <v>13</v>
      </c>
    </row>
    <row r="5" spans="1:13" x14ac:dyDescent="0.3">
      <c r="A5" s="2">
        <v>65</v>
      </c>
      <c r="E5" s="2">
        <v>65</v>
      </c>
      <c r="F5" s="2">
        <v>65</v>
      </c>
      <c r="G5">
        <v>65</v>
      </c>
      <c r="H5" s="2">
        <v>65</v>
      </c>
      <c r="I5">
        <v>65</v>
      </c>
      <c r="K5">
        <v>14</v>
      </c>
    </row>
    <row r="6" spans="1:13" ht="15" thickBot="1" x14ac:dyDescent="0.35">
      <c r="A6" s="3">
        <v>65</v>
      </c>
      <c r="E6" s="3">
        <v>65</v>
      </c>
      <c r="F6" s="3">
        <v>65</v>
      </c>
      <c r="G6">
        <v>65</v>
      </c>
      <c r="H6" s="3">
        <v>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C0527-A4AA-48F1-965F-5950C8F7A08A}">
  <sheetPr codeName="Sheet3"/>
  <dimension ref="A1:H20"/>
  <sheetViews>
    <sheetView workbookViewId="0">
      <selection activeCell="H1" sqref="H1"/>
    </sheetView>
  </sheetViews>
  <sheetFormatPr defaultRowHeight="14.4" x14ac:dyDescent="0.3"/>
  <sheetData>
    <row r="1" spans="1:8" x14ac:dyDescent="0.3">
      <c r="F1" s="19" t="s">
        <v>15</v>
      </c>
      <c r="G1" s="19"/>
      <c r="H1">
        <v>89</v>
      </c>
    </row>
    <row r="2" spans="1:8" x14ac:dyDescent="0.3">
      <c r="A2">
        <v>89</v>
      </c>
    </row>
    <row r="4" spans="1:8" x14ac:dyDescent="0.3">
      <c r="A4">
        <v>178</v>
      </c>
    </row>
    <row r="6" spans="1:8" x14ac:dyDescent="0.3">
      <c r="A6">
        <v>267</v>
      </c>
    </row>
    <row r="8" spans="1:8" x14ac:dyDescent="0.3">
      <c r="A8">
        <v>356</v>
      </c>
    </row>
    <row r="10" spans="1:8" x14ac:dyDescent="0.3">
      <c r="A10">
        <v>445</v>
      </c>
    </row>
    <row r="12" spans="1:8" x14ac:dyDescent="0.3">
      <c r="A12">
        <v>534</v>
      </c>
    </row>
    <row r="14" spans="1:8" x14ac:dyDescent="0.3">
      <c r="A14">
        <v>623</v>
      </c>
    </row>
    <row r="16" spans="1:8" x14ac:dyDescent="0.3">
      <c r="A16">
        <v>712</v>
      </c>
    </row>
    <row r="18" spans="1:1" x14ac:dyDescent="0.3">
      <c r="A18">
        <v>801</v>
      </c>
    </row>
    <row r="20" spans="1:1" x14ac:dyDescent="0.3">
      <c r="A20">
        <v>890</v>
      </c>
    </row>
  </sheetData>
  <mergeCells count="1">
    <mergeCell ref="F1:G1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E2CB1-1DF3-440B-B733-4CC11DCF6A71}">
  <sheetPr codeName="Sheet4"/>
  <dimension ref="A1:L15"/>
  <sheetViews>
    <sheetView workbookViewId="0">
      <selection activeCell="C15" sqref="C15"/>
    </sheetView>
  </sheetViews>
  <sheetFormatPr defaultRowHeight="14.4" x14ac:dyDescent="0.3"/>
  <cols>
    <col min="1" max="16384" width="8.88671875" style="5"/>
  </cols>
  <sheetData>
    <row r="1" spans="1:12" x14ac:dyDescent="0.3">
      <c r="A1" s="5" t="s">
        <v>5</v>
      </c>
      <c r="D1" s="5" t="s">
        <v>5</v>
      </c>
      <c r="E1" s="5" t="s">
        <v>5</v>
      </c>
    </row>
    <row r="2" spans="1:12" x14ac:dyDescent="0.3">
      <c r="A2" s="5" t="s">
        <v>16</v>
      </c>
      <c r="D2" s="5" t="s">
        <v>16</v>
      </c>
      <c r="E2" s="5" t="s">
        <v>16</v>
      </c>
    </row>
    <row r="3" spans="1:12" x14ac:dyDescent="0.3">
      <c r="A3" s="5" t="s">
        <v>17</v>
      </c>
      <c r="D3" s="5" t="s">
        <v>17</v>
      </c>
      <c r="E3" s="5" t="s">
        <v>17</v>
      </c>
      <c r="H3" s="5" t="s">
        <v>5</v>
      </c>
      <c r="L3" s="5" t="s">
        <v>5</v>
      </c>
    </row>
    <row r="4" spans="1:12" x14ac:dyDescent="0.3">
      <c r="A4" s="5" t="s">
        <v>18</v>
      </c>
      <c r="D4" s="5" t="s">
        <v>18</v>
      </c>
      <c r="E4" s="5" t="s">
        <v>18</v>
      </c>
      <c r="H4" s="5" t="s">
        <v>16</v>
      </c>
      <c r="L4" s="5" t="s">
        <v>16</v>
      </c>
    </row>
    <row r="5" spans="1:12" x14ac:dyDescent="0.3">
      <c r="A5" s="5" t="s">
        <v>19</v>
      </c>
      <c r="D5" s="5" t="s">
        <v>19</v>
      </c>
      <c r="E5" s="5" t="s">
        <v>19</v>
      </c>
      <c r="H5" s="5" t="s">
        <v>17</v>
      </c>
      <c r="L5" s="5" t="s">
        <v>17</v>
      </c>
    </row>
    <row r="6" spans="1:12" x14ac:dyDescent="0.3">
      <c r="A6" s="5" t="s">
        <v>20</v>
      </c>
      <c r="D6" s="5" t="s">
        <v>20</v>
      </c>
      <c r="E6" s="5" t="s">
        <v>20</v>
      </c>
      <c r="H6" s="5" t="s">
        <v>18</v>
      </c>
      <c r="L6" s="5" t="s">
        <v>18</v>
      </c>
    </row>
    <row r="7" spans="1:12" x14ac:dyDescent="0.3">
      <c r="A7" s="5" t="s">
        <v>21</v>
      </c>
      <c r="D7" s="5" t="s">
        <v>21</v>
      </c>
      <c r="E7" s="5" t="s">
        <v>21</v>
      </c>
      <c r="H7" s="5" t="s">
        <v>19</v>
      </c>
      <c r="L7" s="5" t="s">
        <v>19</v>
      </c>
    </row>
    <row r="8" spans="1:12" x14ac:dyDescent="0.3">
      <c r="A8" s="5" t="s">
        <v>22</v>
      </c>
      <c r="D8" s="5" t="s">
        <v>22</v>
      </c>
      <c r="E8" s="5" t="s">
        <v>22</v>
      </c>
      <c r="H8" s="5" t="s">
        <v>20</v>
      </c>
      <c r="L8" s="5" t="s">
        <v>20</v>
      </c>
    </row>
    <row r="9" spans="1:12" x14ac:dyDescent="0.3">
      <c r="A9" s="5" t="s">
        <v>16</v>
      </c>
      <c r="D9" s="5" t="s">
        <v>16</v>
      </c>
      <c r="E9" s="5" t="s">
        <v>16</v>
      </c>
      <c r="H9" s="5" t="s">
        <v>21</v>
      </c>
      <c r="L9" s="5" t="s">
        <v>21</v>
      </c>
    </row>
    <row r="10" spans="1:12" x14ac:dyDescent="0.3">
      <c r="A10" s="5" t="s">
        <v>17</v>
      </c>
      <c r="D10" s="5" t="s">
        <v>17</v>
      </c>
      <c r="E10" s="5" t="s">
        <v>17</v>
      </c>
      <c r="H10" s="5" t="s">
        <v>22</v>
      </c>
      <c r="L10" s="5" t="s">
        <v>22</v>
      </c>
    </row>
    <row r="11" spans="1:12" x14ac:dyDescent="0.3">
      <c r="A11" s="5" t="s">
        <v>18</v>
      </c>
      <c r="H11" s="5" t="s">
        <v>16</v>
      </c>
      <c r="L11" s="5" t="s">
        <v>16</v>
      </c>
    </row>
    <row r="12" spans="1:12" x14ac:dyDescent="0.3">
      <c r="A12" s="5" t="s">
        <v>19</v>
      </c>
      <c r="H12" s="5" t="s">
        <v>17</v>
      </c>
      <c r="L12" s="5" t="s">
        <v>17</v>
      </c>
    </row>
    <row r="13" spans="1:12" x14ac:dyDescent="0.3">
      <c r="A13" s="5" t="s">
        <v>20</v>
      </c>
    </row>
    <row r="14" spans="1:12" x14ac:dyDescent="0.3">
      <c r="A14" s="5" t="s">
        <v>21</v>
      </c>
    </row>
    <row r="15" spans="1:12" x14ac:dyDescent="0.3">
      <c r="A15" s="5" t="s">
        <v>22</v>
      </c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C19AC-6E01-4EEA-BA0D-189EF6CC8EED}">
  <sheetPr codeName="Sheet7"/>
  <dimension ref="D4:G9"/>
  <sheetViews>
    <sheetView workbookViewId="0">
      <selection activeCell="D6" sqref="D6:F6"/>
    </sheetView>
  </sheetViews>
  <sheetFormatPr defaultRowHeight="14.4" x14ac:dyDescent="0.3"/>
  <cols>
    <col min="1" max="6" width="8.88671875" style="5"/>
    <col min="7" max="7" width="10.5546875" style="5" bestFit="1" customWidth="1"/>
    <col min="8" max="16384" width="8.88671875" style="5"/>
  </cols>
  <sheetData>
    <row r="4" spans="4:7" x14ac:dyDescent="0.3">
      <c r="G4" s="6">
        <f>(6*3600)/112</f>
        <v>192.85714285714286</v>
      </c>
    </row>
    <row r="6" spans="4:7" x14ac:dyDescent="0.3">
      <c r="D6" s="5" t="s">
        <v>23</v>
      </c>
    </row>
    <row r="7" spans="4:7" x14ac:dyDescent="0.3">
      <c r="D7" s="5">
        <f>327*112</f>
        <v>36624</v>
      </c>
    </row>
    <row r="8" spans="4:7" x14ac:dyDescent="0.3">
      <c r="F8" s="6"/>
    </row>
    <row r="9" spans="4:7" x14ac:dyDescent="0.3">
      <c r="D9" s="5">
        <f>D7/112</f>
        <v>327</v>
      </c>
      <c r="E9" s="6"/>
      <c r="F9" s="5">
        <f>D7/(60*60)</f>
        <v>10.173333333333334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Sheet8</vt:lpstr>
      <vt:lpstr>Sheet9</vt:lpstr>
      <vt:lpstr>Sheet1</vt:lpstr>
      <vt:lpstr>Sheet10</vt:lpstr>
      <vt:lpstr>Sheet2</vt:lpstr>
      <vt:lpstr>Auto_Agents</vt:lpstr>
      <vt:lpstr>Data</vt:lpstr>
      <vt:lpstr>Combobox</vt:lpstr>
      <vt:lpstr>Another sheet</vt:lpstr>
      <vt:lpstr>Sheet3</vt:lpstr>
      <vt:lpstr>Sheet4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Rajkumar Jangid</dc:creator>
  <cp:lastModifiedBy>Rajkumar Jangid</cp:lastModifiedBy>
  <dcterms:created xsi:type="dcterms:W3CDTF">2023-12-15T21:34:13Z</dcterms:created>
  <dcterms:modified xsi:type="dcterms:W3CDTF">2024-08-13T18:30:33Z</dcterms:modified>
</cp:coreProperties>
</file>